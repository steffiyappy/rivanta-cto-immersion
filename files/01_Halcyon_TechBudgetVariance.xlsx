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Centres" sheetId="2" state="visible" r:id="rId2"/>
    <sheet xmlns:r="http://schemas.openxmlformats.org/officeDocument/2006/relationships" name="Monthly_PnL" sheetId="3" state="visible" r:id="rId3"/>
    <sheet xmlns:r="http://schemas.openxmlformats.org/officeDocument/2006/relationships" name="Project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color rgb="00475569"/>
      <sz val="14"/>
    </font>
    <font>
      <b val="1"/>
      <color rgb="001E3A5F"/>
      <sz val="12"/>
    </font>
    <font>
      <b val="1"/>
      <color rgb="00FFFFFF"/>
    </font>
    <font>
      <b val="1"/>
      <color rgb="00991B1B"/>
    </font>
    <font>
      <b val="1"/>
      <color rgb="00065F46"/>
    </font>
    <font>
      <b val="1"/>
      <color rgb="0092400E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4" fillId="6" borderId="0" pivotButton="0" quotePrefix="0" xfId="0"/>
    <xf numFmtId="165" fontId="4" fillId="6" borderId="0" pivotButton="0" quotePrefix="0" xfId="0"/>
    <xf numFmtId="164" fontId="4" fillId="6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Halcyon General Insurance</t>
        </is>
      </c>
    </row>
    <row r="3">
      <c r="B3" s="2" t="inlineStr">
        <is>
          <t>Group Technology — FY2026 Budget vs Actuals</t>
        </is>
      </c>
    </row>
    <row r="5">
      <c r="B5" t="inlineStr">
        <is>
          <t>Prepared for: Board Technology &amp; Risk Committee (BTRC)</t>
        </is>
      </c>
    </row>
    <row r="6">
      <c r="B6" t="inlineStr">
        <is>
          <t>Owner: Office of the Group CTO</t>
        </is>
      </c>
    </row>
    <row r="7">
      <c r="B7" t="inlineStr">
        <is>
          <t>Reporting period: Jan 2026 – Dec 2026 (with full-year forecast)</t>
        </is>
      </c>
    </row>
    <row r="9">
      <c r="B9" s="3" t="inlineStr">
        <is>
          <t>Sheets in this workbook</t>
        </is>
      </c>
    </row>
    <row r="10">
      <c r="B10" t="inlineStr">
        <is>
          <t>1. Monthly_PnL  — 12-month tech budget vs actual by cost centre</t>
        </is>
      </c>
    </row>
    <row r="11">
      <c r="B11" t="inlineStr">
        <is>
          <t>2. CostCentres  — reference list of IT cost centres and owners</t>
        </is>
      </c>
    </row>
    <row r="12">
      <c r="B12" t="inlineStr">
        <is>
          <t>3. ProjectStatus — strategic project portfolio status</t>
        </is>
      </c>
    </row>
    <row r="14">
      <c r="B14" s="3" t="inlineStr">
        <is>
          <t>Notes</t>
        </is>
      </c>
    </row>
    <row r="15">
      <c r="B15" t="inlineStr">
        <is>
          <t>• All figures in RM '000 unless stated otherwise.</t>
        </is>
      </c>
    </row>
    <row r="16">
      <c r="B16" t="inlineStr">
        <is>
          <t>• Variance is calculated as Actual minus Budget. Positive = over budget (adverse).</t>
        </is>
      </c>
    </row>
    <row r="17">
      <c r="B17" t="inlineStr">
        <is>
          <t>• 10% adverse variance triggers a mandatory Tech Steering corrective action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28" customWidth="1" min="4" max="4"/>
  </cols>
  <sheetData>
    <row r="1">
      <c r="A1" s="4" t="inlineStr">
        <is>
          <t>Cost Centre Code</t>
        </is>
      </c>
      <c r="B1" s="4" t="inlineStr">
        <is>
          <t>Cost Centre</t>
        </is>
      </c>
      <c r="C1" s="4" t="inlineStr">
        <is>
          <t>Pillar</t>
        </is>
      </c>
      <c r="D1" s="4" t="inlineStr">
        <is>
          <t>Owner / Head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4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36" customHeight="1">
      <c r="A1" s="5" t="inlineStr">
        <is>
          <t>Cost Centre Code</t>
        </is>
      </c>
      <c r="B1" s="5" t="inlineStr">
        <is>
          <t>Cost Centre</t>
        </is>
      </c>
      <c r="C1" s="5" t="inlineStr">
        <is>
          <t>Pillar</t>
        </is>
      </c>
      <c r="D1" s="5" t="inlineStr">
        <is>
          <t>Owner</t>
        </is>
      </c>
      <c r="E1" s="5" t="inlineStr">
        <is>
          <t>Annual Budget (RM '000)</t>
        </is>
      </c>
      <c r="F1" s="5" t="inlineStr">
        <is>
          <t>Budget Jan</t>
        </is>
      </c>
      <c r="G1" s="5" t="inlineStr">
        <is>
          <t>Actual Jan</t>
        </is>
      </c>
      <c r="H1" s="5" t="inlineStr">
        <is>
          <t>Budget Feb</t>
        </is>
      </c>
      <c r="I1" s="5" t="inlineStr">
        <is>
          <t>Actual Feb</t>
        </is>
      </c>
      <c r="J1" s="5" t="inlineStr">
        <is>
          <t>Budget Mar</t>
        </is>
      </c>
      <c r="K1" s="5" t="inlineStr">
        <is>
          <t>Actual Mar</t>
        </is>
      </c>
      <c r="L1" s="5" t="inlineStr">
        <is>
          <t>Budget Apr</t>
        </is>
      </c>
      <c r="M1" s="5" t="inlineStr">
        <is>
          <t>Actual Apr</t>
        </is>
      </c>
      <c r="N1" s="5" t="inlineStr">
        <is>
          <t>Budget May</t>
        </is>
      </c>
      <c r="O1" s="5" t="inlineStr">
        <is>
          <t>Actual May</t>
        </is>
      </c>
      <c r="P1" s="5" t="inlineStr">
        <is>
          <t>Budget Jun</t>
        </is>
      </c>
      <c r="Q1" s="5" t="inlineStr">
        <is>
          <t>Actual Jun</t>
        </is>
      </c>
      <c r="R1" s="5" t="inlineStr">
        <is>
          <t>Budget Jul</t>
        </is>
      </c>
      <c r="S1" s="5" t="inlineStr">
        <is>
          <t>Actual Jul</t>
        </is>
      </c>
      <c r="T1" s="5" t="inlineStr">
        <is>
          <t>Budget Aug</t>
        </is>
      </c>
      <c r="U1" s="5" t="inlineStr">
        <is>
          <t>Actual Aug</t>
        </is>
      </c>
      <c r="V1" s="5" t="inlineStr">
        <is>
          <t>Budget Sep</t>
        </is>
      </c>
      <c r="W1" s="5" t="inlineStr">
        <is>
          <t>Actual Sep</t>
        </is>
      </c>
      <c r="X1" s="5" t="inlineStr">
        <is>
          <t>Budget Oct</t>
        </is>
      </c>
      <c r="Y1" s="5" t="inlineStr">
        <is>
          <t>Actual Oct</t>
        </is>
      </c>
      <c r="Z1" s="5" t="inlineStr">
        <is>
          <t>Budget Nov</t>
        </is>
      </c>
      <c r="AA1" s="5" t="inlineStr">
        <is>
          <t>Actual Nov</t>
        </is>
      </c>
      <c r="AB1" s="5" t="inlineStr">
        <is>
          <t>Budget Dec</t>
        </is>
      </c>
      <c r="AC1" s="5" t="inlineStr">
        <is>
          <t>Actual Dec</t>
        </is>
      </c>
      <c r="AD1" s="5" t="inlineStr">
        <is>
          <t>YTD Budget</t>
        </is>
      </c>
      <c r="AE1" s="5" t="inlineStr">
        <is>
          <t>YTD Actual</t>
        </is>
      </c>
      <c r="AF1" s="5" t="inlineStr">
        <is>
          <t>YTD Variance</t>
        </is>
      </c>
      <c r="AG1" s="5" t="inlineStr">
        <is>
          <t>Variance %</t>
        </is>
      </c>
      <c r="AH1" s="5" t="inlineStr">
        <is>
          <t>RAG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  <c r="E2" s="6" t="n">
        <v>28800</v>
      </c>
      <c r="F2" s="6" t="n">
        <v>2370.4</v>
      </c>
      <c r="G2" s="6" t="n">
        <v>2417.8</v>
      </c>
      <c r="H2" s="6" t="n">
        <v>2251.9</v>
      </c>
      <c r="I2" s="6" t="n">
        <v>2364.5</v>
      </c>
      <c r="J2" s="6" t="n">
        <v>2488.9</v>
      </c>
      <c r="K2" s="6" t="n">
        <v>2688</v>
      </c>
      <c r="L2" s="6" t="n">
        <v>2370.4</v>
      </c>
      <c r="M2" s="6" t="n">
        <v>2607.4</v>
      </c>
      <c r="N2" s="6" t="n">
        <v>2370.4</v>
      </c>
      <c r="O2" s="6" t="n">
        <v>2702.3</v>
      </c>
      <c r="P2" s="6" t="n">
        <v>2488.9</v>
      </c>
      <c r="Q2" s="6" t="n">
        <v>2936.9</v>
      </c>
      <c r="R2" s="6" t="n">
        <v>2370.4</v>
      </c>
      <c r="S2" s="6" t="n">
        <v>2844.5</v>
      </c>
      <c r="T2" s="6" t="n">
        <v>2370.4</v>
      </c>
      <c r="U2" s="6" t="n">
        <v>2891.9</v>
      </c>
      <c r="V2" s="6" t="n">
        <v>2488.9</v>
      </c>
      <c r="W2" s="6" t="n">
        <v>2936.9</v>
      </c>
      <c r="X2" s="6" t="n">
        <v>2370.4</v>
      </c>
      <c r="Y2" s="6" t="n">
        <v>2726</v>
      </c>
      <c r="Z2" s="6" t="n">
        <v>2370.4</v>
      </c>
      <c r="AA2" s="6" t="n">
        <v>2654.8</v>
      </c>
      <c r="AB2" s="6" t="n">
        <v>2488.9</v>
      </c>
      <c r="AC2" s="6" t="n">
        <v>2737.8</v>
      </c>
      <c r="AD2" s="6" t="n">
        <v>28800.3</v>
      </c>
      <c r="AE2" s="6" t="n">
        <v>32508.8</v>
      </c>
      <c r="AF2" s="6" t="n">
        <v>3708.5</v>
      </c>
      <c r="AG2" s="7" t="n">
        <v>0.1287660197984049</v>
      </c>
      <c r="AH2" s="8" t="inlineStr">
        <is>
          <t>Red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  <c r="E3" s="6" t="n">
        <v>8400</v>
      </c>
      <c r="F3" s="6" t="n">
        <v>691.4</v>
      </c>
      <c r="G3" s="6" t="n">
        <v>677.6</v>
      </c>
      <c r="H3" s="6" t="n">
        <v>656.8</v>
      </c>
      <c r="I3" s="6" t="n">
        <v>656.8</v>
      </c>
      <c r="J3" s="6" t="n">
        <v>725.9</v>
      </c>
      <c r="K3" s="6" t="n">
        <v>740.4</v>
      </c>
      <c r="L3" s="6" t="n">
        <v>691.4</v>
      </c>
      <c r="M3" s="6" t="n">
        <v>719.1</v>
      </c>
      <c r="N3" s="6" t="n">
        <v>691.4</v>
      </c>
      <c r="O3" s="6" t="n">
        <v>726</v>
      </c>
      <c r="P3" s="6" t="n">
        <v>725.9</v>
      </c>
      <c r="Q3" s="6" t="n">
        <v>769.5</v>
      </c>
      <c r="R3" s="6" t="n">
        <v>691.4</v>
      </c>
      <c r="S3" s="6" t="n">
        <v>726</v>
      </c>
      <c r="T3" s="6" t="n">
        <v>691.4</v>
      </c>
      <c r="U3" s="6" t="n">
        <v>719.1</v>
      </c>
      <c r="V3" s="6" t="n">
        <v>725.9</v>
      </c>
      <c r="W3" s="6" t="n">
        <v>747.7</v>
      </c>
      <c r="X3" s="6" t="n">
        <v>691.4</v>
      </c>
      <c r="Y3" s="6" t="n">
        <v>705.2</v>
      </c>
      <c r="Z3" s="6" t="n">
        <v>691.4</v>
      </c>
      <c r="AA3" s="6" t="n">
        <v>698.3</v>
      </c>
      <c r="AB3" s="6" t="n">
        <v>725.9</v>
      </c>
      <c r="AC3" s="6" t="n">
        <v>725.9</v>
      </c>
      <c r="AD3" s="6" t="n">
        <v>8400.199999999999</v>
      </c>
      <c r="AE3" s="6" t="n">
        <v>8611.6</v>
      </c>
      <c r="AF3" s="6" t="n">
        <v>211.4</v>
      </c>
      <c r="AG3" s="7" t="n">
        <v>0.02516606747458394</v>
      </c>
      <c r="AH3" s="9" t="inlineStr">
        <is>
          <t>Green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  <c r="E4" s="6" t="n">
        <v>6600</v>
      </c>
      <c r="F4" s="6" t="n">
        <v>543.2</v>
      </c>
      <c r="G4" s="6" t="n">
        <v>521.5</v>
      </c>
      <c r="H4" s="6" t="n">
        <v>516</v>
      </c>
      <c r="I4" s="6" t="n">
        <v>505.7</v>
      </c>
      <c r="J4" s="6" t="n">
        <v>570.4</v>
      </c>
      <c r="K4" s="6" t="n">
        <v>570.4</v>
      </c>
      <c r="L4" s="6" t="n">
        <v>543.2</v>
      </c>
      <c r="M4" s="6" t="n">
        <v>554.1</v>
      </c>
      <c r="N4" s="6" t="n">
        <v>543.2</v>
      </c>
      <c r="O4" s="6" t="n">
        <v>564.9</v>
      </c>
      <c r="P4" s="6" t="n">
        <v>570.4</v>
      </c>
      <c r="Q4" s="6" t="n">
        <v>598.9</v>
      </c>
      <c r="R4" s="6" t="n">
        <v>543.2</v>
      </c>
      <c r="S4" s="6" t="n">
        <v>575.8</v>
      </c>
      <c r="T4" s="6" t="n">
        <v>543.2</v>
      </c>
      <c r="U4" s="6" t="n">
        <v>581.2</v>
      </c>
      <c r="V4" s="6" t="n">
        <v>570.4</v>
      </c>
      <c r="W4" s="6" t="n">
        <v>616</v>
      </c>
      <c r="X4" s="6" t="n">
        <v>543.2</v>
      </c>
      <c r="Y4" s="6" t="n">
        <v>592.1</v>
      </c>
      <c r="Z4" s="6" t="n">
        <v>543.2</v>
      </c>
      <c r="AA4" s="6" t="n">
        <v>597.5</v>
      </c>
      <c r="AB4" s="6" t="n">
        <v>570.4</v>
      </c>
      <c r="AC4" s="6" t="n">
        <v>627.4</v>
      </c>
      <c r="AD4" s="6" t="n">
        <v>6600</v>
      </c>
      <c r="AE4" s="6" t="n">
        <v>6905.5</v>
      </c>
      <c r="AF4" s="6" t="n">
        <v>305.5</v>
      </c>
      <c r="AG4" s="7" t="n">
        <v>0.04628787878787879</v>
      </c>
      <c r="AH4" s="9" t="inlineStr">
        <is>
          <t>Green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  <c r="E5" s="6" t="n">
        <v>7200</v>
      </c>
      <c r="F5" s="6" t="n">
        <v>592.6</v>
      </c>
      <c r="G5" s="6" t="n">
        <v>622.2</v>
      </c>
      <c r="H5" s="6" t="n">
        <v>563</v>
      </c>
      <c r="I5" s="6" t="n">
        <v>619.3</v>
      </c>
      <c r="J5" s="6" t="n">
        <v>622.2</v>
      </c>
      <c r="K5" s="6" t="n">
        <v>696.9</v>
      </c>
      <c r="L5" s="6" t="n">
        <v>592.6</v>
      </c>
      <c r="M5" s="6" t="n">
        <v>675.6</v>
      </c>
      <c r="N5" s="6" t="n">
        <v>592.6</v>
      </c>
      <c r="O5" s="6" t="n">
        <v>699.3</v>
      </c>
      <c r="P5" s="6" t="n">
        <v>622.2</v>
      </c>
      <c r="Q5" s="6" t="n">
        <v>746.6</v>
      </c>
      <c r="R5" s="6" t="n">
        <v>592.6</v>
      </c>
      <c r="S5" s="6" t="n">
        <v>711.1</v>
      </c>
      <c r="T5" s="6" t="n">
        <v>592.6</v>
      </c>
      <c r="U5" s="6" t="n">
        <v>723</v>
      </c>
      <c r="V5" s="6" t="n">
        <v>622.2</v>
      </c>
      <c r="W5" s="6" t="n">
        <v>771.5</v>
      </c>
      <c r="X5" s="6" t="n">
        <v>592.6</v>
      </c>
      <c r="Y5" s="6" t="n">
        <v>740.8</v>
      </c>
      <c r="Z5" s="6" t="n">
        <v>592.6</v>
      </c>
      <c r="AA5" s="6" t="n">
        <v>746.7</v>
      </c>
      <c r="AB5" s="6" t="n">
        <v>622.2</v>
      </c>
      <c r="AC5" s="6" t="n">
        <v>796.4</v>
      </c>
      <c r="AD5" s="6" t="n">
        <v>7200</v>
      </c>
      <c r="AE5" s="6" t="n">
        <v>8549.4</v>
      </c>
      <c r="AF5" s="6" t="n">
        <v>1349.4</v>
      </c>
      <c r="AG5" s="7" t="n">
        <v>0.1874166666666667</v>
      </c>
      <c r="AH5" s="8" t="inlineStr">
        <is>
          <t>Red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  <c r="E6" s="6" t="n">
        <v>9600</v>
      </c>
      <c r="F6" s="6" t="n">
        <v>790.1</v>
      </c>
      <c r="G6" s="6" t="n">
        <v>790.1</v>
      </c>
      <c r="H6" s="6" t="n">
        <v>750.6</v>
      </c>
      <c r="I6" s="6" t="n">
        <v>765.6</v>
      </c>
      <c r="J6" s="6" t="n">
        <v>829.6</v>
      </c>
      <c r="K6" s="6" t="n">
        <v>871.1</v>
      </c>
      <c r="L6" s="6" t="n">
        <v>790.1</v>
      </c>
      <c r="M6" s="6" t="n">
        <v>853.3</v>
      </c>
      <c r="N6" s="6" t="n">
        <v>790.1</v>
      </c>
      <c r="O6" s="6" t="n">
        <v>869.1</v>
      </c>
      <c r="P6" s="6" t="n">
        <v>829.6</v>
      </c>
      <c r="Q6" s="6" t="n">
        <v>937.4</v>
      </c>
      <c r="R6" s="6" t="n">
        <v>790.1</v>
      </c>
      <c r="S6" s="6" t="n">
        <v>908.6</v>
      </c>
      <c r="T6" s="6" t="n">
        <v>790.1</v>
      </c>
      <c r="U6" s="6" t="n">
        <v>932.3</v>
      </c>
      <c r="V6" s="6" t="n">
        <v>829.6</v>
      </c>
      <c r="W6" s="6" t="n">
        <v>995.5</v>
      </c>
      <c r="X6" s="6" t="n">
        <v>790.1</v>
      </c>
      <c r="Y6" s="6" t="n">
        <v>963.9</v>
      </c>
      <c r="Z6" s="6" t="n">
        <v>790.1</v>
      </c>
      <c r="AA6" s="6" t="n">
        <v>987.6</v>
      </c>
      <c r="AB6" s="6" t="n">
        <v>829.6</v>
      </c>
      <c r="AC6" s="6" t="n">
        <v>1061.9</v>
      </c>
      <c r="AD6" s="6" t="n">
        <v>9599.700000000001</v>
      </c>
      <c r="AE6" s="6" t="n">
        <v>10936.4</v>
      </c>
      <c r="AF6" s="6" t="n">
        <v>1336.7</v>
      </c>
      <c r="AG6" s="7" t="n">
        <v>0.1392439347062929</v>
      </c>
      <c r="AH6" s="8" t="inlineStr">
        <is>
          <t>Red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  <c r="E7" s="6" t="n">
        <v>12000</v>
      </c>
      <c r="F7" s="6" t="n">
        <v>987.7</v>
      </c>
      <c r="G7" s="6" t="n">
        <v>1027.2</v>
      </c>
      <c r="H7" s="6" t="n">
        <v>938.3</v>
      </c>
      <c r="I7" s="6" t="n">
        <v>985.2</v>
      </c>
      <c r="J7" s="6" t="n">
        <v>1037</v>
      </c>
      <c r="K7" s="6" t="n">
        <v>1099.2</v>
      </c>
      <c r="L7" s="6" t="n">
        <v>987.7</v>
      </c>
      <c r="M7" s="6" t="n">
        <v>1037.1</v>
      </c>
      <c r="N7" s="6" t="n">
        <v>987.7</v>
      </c>
      <c r="O7" s="6" t="n">
        <v>1047</v>
      </c>
      <c r="P7" s="6" t="n">
        <v>1037</v>
      </c>
      <c r="Q7" s="6" t="n">
        <v>1109.6</v>
      </c>
      <c r="R7" s="6" t="n">
        <v>987.7</v>
      </c>
      <c r="S7" s="6" t="n">
        <v>1047</v>
      </c>
      <c r="T7" s="6" t="n">
        <v>987.7</v>
      </c>
      <c r="U7" s="6" t="n">
        <v>1037.1</v>
      </c>
      <c r="V7" s="6" t="n">
        <v>1037</v>
      </c>
      <c r="W7" s="6" t="n">
        <v>1099.2</v>
      </c>
      <c r="X7" s="6" t="n">
        <v>987.7</v>
      </c>
      <c r="Y7" s="6" t="n">
        <v>1037.1</v>
      </c>
      <c r="Z7" s="6" t="n">
        <v>987.7</v>
      </c>
      <c r="AA7" s="6" t="n">
        <v>1047</v>
      </c>
      <c r="AB7" s="6" t="n">
        <v>1037</v>
      </c>
      <c r="AC7" s="6" t="n">
        <v>1088.9</v>
      </c>
      <c r="AD7" s="6" t="n">
        <v>12000.2</v>
      </c>
      <c r="AE7" s="6" t="n">
        <v>12661.6</v>
      </c>
      <c r="AF7" s="6" t="n">
        <v>661.4</v>
      </c>
      <c r="AG7" s="7" t="n">
        <v>0.05511574807086548</v>
      </c>
      <c r="AH7" s="10" t="inlineStr">
        <is>
          <t>Amber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  <c r="E8" s="6" t="n">
        <v>4800</v>
      </c>
      <c r="F8" s="6" t="n">
        <v>395.1</v>
      </c>
      <c r="G8" s="6" t="n">
        <v>375.3</v>
      </c>
      <c r="H8" s="6" t="n">
        <v>375.3</v>
      </c>
      <c r="I8" s="6" t="n">
        <v>360.3</v>
      </c>
      <c r="J8" s="6" t="n">
        <v>414.8</v>
      </c>
      <c r="K8" s="6" t="n">
        <v>402.4</v>
      </c>
      <c r="L8" s="6" t="n">
        <v>395.1</v>
      </c>
      <c r="M8" s="6" t="n">
        <v>379.3</v>
      </c>
      <c r="N8" s="6" t="n">
        <v>395.1</v>
      </c>
      <c r="O8" s="6" t="n">
        <v>383.2</v>
      </c>
      <c r="P8" s="6" t="n">
        <v>414.8</v>
      </c>
      <c r="Q8" s="6" t="n">
        <v>398.2</v>
      </c>
      <c r="R8" s="6" t="n">
        <v>395.1</v>
      </c>
      <c r="S8" s="6" t="n">
        <v>375.3</v>
      </c>
      <c r="T8" s="6" t="n">
        <v>395.1</v>
      </c>
      <c r="U8" s="6" t="n">
        <v>379.3</v>
      </c>
      <c r="V8" s="6" t="n">
        <v>414.8</v>
      </c>
      <c r="W8" s="6" t="n">
        <v>402.4</v>
      </c>
      <c r="X8" s="6" t="n">
        <v>395.1</v>
      </c>
      <c r="Y8" s="6" t="n">
        <v>379.3</v>
      </c>
      <c r="Z8" s="6" t="n">
        <v>395.1</v>
      </c>
      <c r="AA8" s="6" t="n">
        <v>375.3</v>
      </c>
      <c r="AB8" s="6" t="n">
        <v>414.8</v>
      </c>
      <c r="AC8" s="6" t="n">
        <v>398.2</v>
      </c>
      <c r="AD8" s="6" t="n">
        <v>4800.2</v>
      </c>
      <c r="AE8" s="6" t="n">
        <v>4608.5</v>
      </c>
      <c r="AF8" s="6" t="n">
        <v>-191.7</v>
      </c>
      <c r="AG8" s="7" t="n">
        <v>-0.03993583600683305</v>
      </c>
      <c r="AH8" s="9" t="inlineStr">
        <is>
          <t>Green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  <c r="E9" s="6" t="n">
        <v>3600</v>
      </c>
      <c r="F9" s="6" t="n">
        <v>296.3</v>
      </c>
      <c r="G9" s="6" t="n">
        <v>290.4</v>
      </c>
      <c r="H9" s="6" t="n">
        <v>281.5</v>
      </c>
      <c r="I9" s="6" t="n">
        <v>278.7</v>
      </c>
      <c r="J9" s="6" t="n">
        <v>311.1</v>
      </c>
      <c r="K9" s="6" t="n">
        <v>311.1</v>
      </c>
      <c r="L9" s="6" t="n">
        <v>296.3</v>
      </c>
      <c r="M9" s="6" t="n">
        <v>296.3</v>
      </c>
      <c r="N9" s="6" t="n">
        <v>296.3</v>
      </c>
      <c r="O9" s="6" t="n">
        <v>299.3</v>
      </c>
      <c r="P9" s="6" t="n">
        <v>311.1</v>
      </c>
      <c r="Q9" s="6" t="n">
        <v>311.1</v>
      </c>
      <c r="R9" s="6" t="n">
        <v>296.3</v>
      </c>
      <c r="S9" s="6" t="n">
        <v>293.3</v>
      </c>
      <c r="T9" s="6" t="n">
        <v>296.3</v>
      </c>
      <c r="U9" s="6" t="n">
        <v>296.3</v>
      </c>
      <c r="V9" s="6" t="n">
        <v>311.1</v>
      </c>
      <c r="W9" s="6" t="n">
        <v>311.1</v>
      </c>
      <c r="X9" s="6" t="n">
        <v>296.3</v>
      </c>
      <c r="Y9" s="6" t="n">
        <v>296.3</v>
      </c>
      <c r="Z9" s="6" t="n">
        <v>296.3</v>
      </c>
      <c r="AA9" s="6" t="n">
        <v>296.3</v>
      </c>
      <c r="AB9" s="6" t="n">
        <v>311.1</v>
      </c>
      <c r="AC9" s="6" t="n">
        <v>314.2</v>
      </c>
      <c r="AD9" s="6" t="n">
        <v>3600</v>
      </c>
      <c r="AE9" s="6" t="n">
        <v>3594.4</v>
      </c>
      <c r="AF9" s="6" t="n">
        <v>-5.6</v>
      </c>
      <c r="AG9" s="7" t="n">
        <v>-0.001555555555555555</v>
      </c>
      <c r="AH9" s="9" t="inlineStr">
        <is>
          <t>Green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  <c r="E10" s="6" t="n">
        <v>1800</v>
      </c>
      <c r="F10" s="6" t="n">
        <v>148.1</v>
      </c>
      <c r="G10" s="6" t="n">
        <v>142.2</v>
      </c>
      <c r="H10" s="6" t="n">
        <v>140.7</v>
      </c>
      <c r="I10" s="6" t="n">
        <v>133.7</v>
      </c>
      <c r="J10" s="6" t="n">
        <v>155.6</v>
      </c>
      <c r="K10" s="6" t="n">
        <v>150.9</v>
      </c>
      <c r="L10" s="6" t="n">
        <v>148.1</v>
      </c>
      <c r="M10" s="6" t="n">
        <v>142.2</v>
      </c>
      <c r="N10" s="6" t="n">
        <v>148.1</v>
      </c>
      <c r="O10" s="6" t="n">
        <v>140.7</v>
      </c>
      <c r="P10" s="6" t="n">
        <v>155.6</v>
      </c>
      <c r="Q10" s="6" t="n">
        <v>149.4</v>
      </c>
      <c r="R10" s="6" t="n">
        <v>148.1</v>
      </c>
      <c r="S10" s="6" t="n">
        <v>143.7</v>
      </c>
      <c r="T10" s="6" t="n">
        <v>148.1</v>
      </c>
      <c r="U10" s="6" t="n">
        <v>140.7</v>
      </c>
      <c r="V10" s="6" t="n">
        <v>155.6</v>
      </c>
      <c r="W10" s="6" t="n">
        <v>149.4</v>
      </c>
      <c r="X10" s="6" t="n">
        <v>148.1</v>
      </c>
      <c r="Y10" s="6" t="n">
        <v>142.2</v>
      </c>
      <c r="Z10" s="6" t="n">
        <v>148.1</v>
      </c>
      <c r="AA10" s="6" t="n">
        <v>140.7</v>
      </c>
      <c r="AB10" s="6" t="n">
        <v>155.6</v>
      </c>
      <c r="AC10" s="6" t="n">
        <v>146.3</v>
      </c>
      <c r="AD10" s="6" t="n">
        <v>1799.8</v>
      </c>
      <c r="AE10" s="6" t="n">
        <v>1722.1</v>
      </c>
      <c r="AF10" s="6" t="n">
        <v>-77.7</v>
      </c>
      <c r="AG10" s="7" t="n">
        <v>-0.04317146349594399</v>
      </c>
      <c r="AH10" s="9" t="inlineStr">
        <is>
          <t>Green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  <c r="E11" s="6" t="n">
        <v>2400</v>
      </c>
      <c r="F11" s="6" t="n">
        <v>197.5</v>
      </c>
      <c r="G11" s="6" t="n">
        <v>217.3</v>
      </c>
      <c r="H11" s="6" t="n">
        <v>187.7</v>
      </c>
      <c r="I11" s="6" t="n">
        <v>210.2</v>
      </c>
      <c r="J11" s="6" t="n">
        <v>207.4</v>
      </c>
      <c r="K11" s="6" t="n">
        <v>238.5</v>
      </c>
      <c r="L11" s="6" t="n">
        <v>197.5</v>
      </c>
      <c r="M11" s="6" t="n">
        <v>225.1</v>
      </c>
      <c r="N11" s="6" t="n">
        <v>197.5</v>
      </c>
      <c r="O11" s="6" t="n">
        <v>229.1</v>
      </c>
      <c r="P11" s="6" t="n">
        <v>207.4</v>
      </c>
      <c r="Q11" s="6" t="n">
        <v>244.7</v>
      </c>
      <c r="R11" s="6" t="n">
        <v>197.5</v>
      </c>
      <c r="S11" s="6" t="n">
        <v>237</v>
      </c>
      <c r="T11" s="6" t="n">
        <v>197.5</v>
      </c>
      <c r="U11" s="6" t="n">
        <v>240.9</v>
      </c>
      <c r="V11" s="6" t="n">
        <v>207.4</v>
      </c>
      <c r="W11" s="6" t="n">
        <v>248.9</v>
      </c>
      <c r="X11" s="6" t="n">
        <v>197.5</v>
      </c>
      <c r="Y11" s="6" t="n">
        <v>233</v>
      </c>
      <c r="Z11" s="6" t="n">
        <v>197.5</v>
      </c>
      <c r="AA11" s="6" t="n">
        <v>229.1</v>
      </c>
      <c r="AB11" s="6" t="n">
        <v>207.4</v>
      </c>
      <c r="AC11" s="6" t="n">
        <v>238.5</v>
      </c>
      <c r="AD11" s="6" t="n">
        <v>2399.8</v>
      </c>
      <c r="AE11" s="6" t="n">
        <v>2792.3</v>
      </c>
      <c r="AF11" s="6" t="n">
        <v>392.5</v>
      </c>
      <c r="AG11" s="7" t="n">
        <v>0.1635552962746895</v>
      </c>
      <c r="AH11" s="8" t="inlineStr">
        <is>
          <t>Red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  <c r="E12" s="6" t="n">
        <v>3000</v>
      </c>
      <c r="F12" s="6" t="n">
        <v>246.9</v>
      </c>
      <c r="G12" s="6" t="n">
        <v>259.2</v>
      </c>
      <c r="H12" s="6" t="n">
        <v>234.6</v>
      </c>
      <c r="I12" s="6" t="n">
        <v>258.1</v>
      </c>
      <c r="J12" s="6" t="n">
        <v>259.3</v>
      </c>
      <c r="K12" s="6" t="n">
        <v>290.4</v>
      </c>
      <c r="L12" s="6" t="n">
        <v>246.9</v>
      </c>
      <c r="M12" s="6" t="n">
        <v>283.9</v>
      </c>
      <c r="N12" s="6" t="n">
        <v>246.9</v>
      </c>
      <c r="O12" s="6" t="n">
        <v>291.3</v>
      </c>
      <c r="P12" s="6" t="n">
        <v>259.3</v>
      </c>
      <c r="Q12" s="6" t="n">
        <v>311.2</v>
      </c>
      <c r="R12" s="6" t="n">
        <v>246.9</v>
      </c>
      <c r="S12" s="6" t="n">
        <v>301.2</v>
      </c>
      <c r="T12" s="6" t="n">
        <v>246.9</v>
      </c>
      <c r="U12" s="6" t="n">
        <v>296.3</v>
      </c>
      <c r="V12" s="6" t="n">
        <v>259.3</v>
      </c>
      <c r="W12" s="6" t="n">
        <v>306</v>
      </c>
      <c r="X12" s="6" t="n">
        <v>246.9</v>
      </c>
      <c r="Y12" s="6" t="n">
        <v>283.9</v>
      </c>
      <c r="Z12" s="6" t="n">
        <v>246.9</v>
      </c>
      <c r="AA12" s="6" t="n">
        <v>276.5</v>
      </c>
      <c r="AB12" s="6" t="n">
        <v>259.3</v>
      </c>
      <c r="AC12" s="6" t="n">
        <v>285.2</v>
      </c>
      <c r="AD12" s="6" t="n">
        <v>3000.1</v>
      </c>
      <c r="AE12" s="6" t="n">
        <v>3443.2</v>
      </c>
      <c r="AF12" s="6" t="n">
        <v>443.1</v>
      </c>
      <c r="AG12" s="7" t="n">
        <v>0.1476950768307723</v>
      </c>
      <c r="AH12" s="8" t="inlineStr">
        <is>
          <t>Red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  <c r="E13" s="6" t="n">
        <v>2400</v>
      </c>
      <c r="F13" s="6" t="n">
        <v>197.5</v>
      </c>
      <c r="G13" s="6" t="n">
        <v>193.5</v>
      </c>
      <c r="H13" s="6" t="n">
        <v>187.7</v>
      </c>
      <c r="I13" s="6" t="n">
        <v>185.8</v>
      </c>
      <c r="J13" s="6" t="n">
        <v>207.4</v>
      </c>
      <c r="K13" s="6" t="n">
        <v>207.4</v>
      </c>
      <c r="L13" s="6" t="n">
        <v>197.5</v>
      </c>
      <c r="M13" s="6" t="n">
        <v>197.5</v>
      </c>
      <c r="N13" s="6" t="n">
        <v>197.5</v>
      </c>
      <c r="O13" s="6" t="n">
        <v>197.5</v>
      </c>
      <c r="P13" s="6" t="n">
        <v>207.4</v>
      </c>
      <c r="Q13" s="6" t="n">
        <v>209.5</v>
      </c>
      <c r="R13" s="6" t="n">
        <v>197.5</v>
      </c>
      <c r="S13" s="6" t="n">
        <v>197.5</v>
      </c>
      <c r="T13" s="6" t="n">
        <v>197.5</v>
      </c>
      <c r="U13" s="6" t="n">
        <v>197.5</v>
      </c>
      <c r="V13" s="6" t="n">
        <v>207.4</v>
      </c>
      <c r="W13" s="6" t="n">
        <v>209.5</v>
      </c>
      <c r="X13" s="6" t="n">
        <v>197.5</v>
      </c>
      <c r="Y13" s="6" t="n">
        <v>197.5</v>
      </c>
      <c r="Z13" s="6" t="n">
        <v>197.5</v>
      </c>
      <c r="AA13" s="6" t="n">
        <v>195.5</v>
      </c>
      <c r="AB13" s="6" t="n">
        <v>207.4</v>
      </c>
      <c r="AC13" s="6" t="n">
        <v>207.4</v>
      </c>
      <c r="AD13" s="6" t="n">
        <v>2399.8</v>
      </c>
      <c r="AE13" s="6" t="n">
        <v>2396.1</v>
      </c>
      <c r="AF13" s="6" t="n">
        <v>-3.7</v>
      </c>
      <c r="AG13" s="7" t="n">
        <v>-0.0015417951495958</v>
      </c>
      <c r="AH13" s="9" t="inlineStr">
        <is>
          <t>Green</t>
        </is>
      </c>
    </row>
    <row r="14">
      <c r="A14" s="11" t="inlineStr"/>
      <c r="B14" s="11" t="inlineStr">
        <is>
          <t>GROUP TOTAL</t>
        </is>
      </c>
      <c r="C14" s="11" t="inlineStr"/>
      <c r="D14" s="11" t="inlineStr"/>
      <c r="E14" s="12" t="n">
        <v>90600</v>
      </c>
      <c r="F14" s="12">
        <f>SUM(F2:F13)</f>
        <v/>
      </c>
      <c r="G14" s="12">
        <f>SUM(G2:G13)</f>
        <v/>
      </c>
      <c r="H14" s="12">
        <f>SUM(H2:H13)</f>
        <v/>
      </c>
      <c r="I14" s="12">
        <f>SUM(I2:I13)</f>
        <v/>
      </c>
      <c r="J14" s="12">
        <f>SUM(J2:J13)</f>
        <v/>
      </c>
      <c r="K14" s="12">
        <f>SUM(K2:K13)</f>
        <v/>
      </c>
      <c r="L14" s="12">
        <f>SUM(L2:L13)</f>
        <v/>
      </c>
      <c r="M14" s="12">
        <f>SUM(M2:M13)</f>
        <v/>
      </c>
      <c r="N14" s="12">
        <f>SUM(N2:N13)</f>
        <v/>
      </c>
      <c r="O14" s="12">
        <f>SUM(O2:O13)</f>
        <v/>
      </c>
      <c r="P14" s="12">
        <f>SUM(P2:P13)</f>
        <v/>
      </c>
      <c r="Q14" s="12">
        <f>SUM(Q2:Q13)</f>
        <v/>
      </c>
      <c r="R14" s="12">
        <f>SUM(R2:R13)</f>
        <v/>
      </c>
      <c r="S14" s="12">
        <f>SUM(S2:S13)</f>
        <v/>
      </c>
      <c r="T14" s="12">
        <f>SUM(T2:T13)</f>
        <v/>
      </c>
      <c r="U14" s="12">
        <f>SUM(U2:U13)</f>
        <v/>
      </c>
      <c r="V14" s="12">
        <f>SUM(V2:V13)</f>
        <v/>
      </c>
      <c r="W14" s="12">
        <f>SUM(W2:W13)</f>
        <v/>
      </c>
      <c r="X14" s="12">
        <f>SUM(X2:X13)</f>
        <v/>
      </c>
      <c r="Y14" s="12">
        <f>SUM(Y2:Y13)</f>
        <v/>
      </c>
      <c r="Z14" s="12">
        <f>SUM(Z2:Z13)</f>
        <v/>
      </c>
      <c r="AA14" s="12">
        <f>SUM(AA2:AA13)</f>
        <v/>
      </c>
      <c r="AB14" s="12">
        <f>SUM(AB2:AB13)</f>
        <v/>
      </c>
      <c r="AC14" s="12">
        <f>SUM(AC2:AC13)</f>
        <v/>
      </c>
      <c r="AD14" s="12">
        <f>SUM(AD2:AD13)</f>
        <v/>
      </c>
      <c r="AE14" s="12">
        <f>SUM(AE2:AE13)</f>
        <v/>
      </c>
      <c r="AF14" s="12">
        <f>SUM(AF2:AF13)</f>
        <v/>
      </c>
      <c r="AG14" s="13">
        <f>(AE14-AD14)/AD14</f>
        <v/>
      </c>
      <c r="AH1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60" customWidth="1" min="10" max="10"/>
  </cols>
  <sheetData>
    <row r="1" ht="36" customHeight="1">
      <c r="A1" s="14" t="inlineStr">
        <is>
          <t>Project Code</t>
        </is>
      </c>
      <c r="B1" s="14" t="inlineStr">
        <is>
          <t>Project Name</t>
        </is>
      </c>
      <c r="C1" s="14" t="inlineStr">
        <is>
          <t>Sponsor</t>
        </is>
      </c>
      <c r="D1" s="14" t="inlineStr">
        <is>
          <t>Pillar</t>
        </is>
      </c>
      <c r="E1" s="14" t="inlineStr">
        <is>
          <t>Approved Budget (RM '000)</t>
        </is>
      </c>
      <c r="F1" s="14" t="inlineStr">
        <is>
          <t>Spent to Date (RM '000)</t>
        </is>
      </c>
      <c r="G1" s="14" t="inlineStr">
        <is>
          <t>Forecast at Completion (RM '000)</t>
        </is>
      </c>
      <c r="H1" s="14" t="inlineStr">
        <is>
          <t>Schedule Status</t>
        </is>
      </c>
      <c r="I1" s="14" t="inlineStr">
        <is>
          <t>Risk Rating</t>
        </is>
      </c>
      <c r="J1" s="14" t="inlineStr">
        <is>
          <t>Comment</t>
        </is>
      </c>
    </row>
    <row r="2" ht="30" customHeight="1">
      <c r="A2" s="15" t="inlineStr">
        <is>
          <t>PRJ-001</t>
        </is>
      </c>
      <c r="B2" s="15" t="inlineStr">
        <is>
          <t>Core Insurance Platform Modernisation</t>
        </is>
      </c>
      <c r="C2" s="15" t="inlineStr">
        <is>
          <t>Group CEO</t>
        </is>
      </c>
      <c r="D2" s="15" t="inlineStr">
        <is>
          <t>Applications</t>
        </is>
      </c>
      <c r="E2" s="15" t="n">
        <v>18000</v>
      </c>
      <c r="F2" s="15" t="n">
        <v>14200</v>
      </c>
      <c r="G2" s="15" t="n">
        <v>21800</v>
      </c>
      <c r="H2" s="15" t="inlineStr">
        <is>
          <t>Behind</t>
        </is>
      </c>
      <c r="I2" s="16" t="inlineStr">
        <is>
          <t>HIGH</t>
        </is>
      </c>
      <c r="J2" s="15" t="inlineStr">
        <is>
          <t>Vendor scope creep and integration delays. Re-baselined twice. RM 3.8m forecast overrun.</t>
        </is>
      </c>
    </row>
    <row r="3" ht="30" customHeight="1">
      <c r="A3" s="15" t="inlineStr">
        <is>
          <t>PRJ-002</t>
        </is>
      </c>
      <c r="B3" s="15" t="inlineStr">
        <is>
          <t>Claims Straight-Through Processing</t>
        </is>
      </c>
      <c r="C3" s="15" t="inlineStr">
        <is>
          <t>COO</t>
        </is>
      </c>
      <c r="D3" s="15" t="inlineStr">
        <is>
          <t>Applications</t>
        </is>
      </c>
      <c r="E3" s="15" t="n">
        <v>5200</v>
      </c>
      <c r="F3" s="15" t="n">
        <v>3100</v>
      </c>
      <c r="G3" s="15" t="n">
        <v>5400</v>
      </c>
      <c r="H3" s="15" t="inlineStr">
        <is>
          <t>On Track</t>
        </is>
      </c>
      <c r="I3" s="17" t="inlineStr">
        <is>
          <t>MEDIUM</t>
        </is>
      </c>
      <c r="J3" s="15" t="inlineStr">
        <is>
          <t>Pilot in motor claims live; expand to property Q4.</t>
        </is>
      </c>
    </row>
    <row r="4" ht="30" customHeight="1">
      <c r="A4" s="15" t="inlineStr">
        <is>
          <t>PRJ-003</t>
        </is>
      </c>
      <c r="B4" s="15" t="inlineStr">
        <is>
          <t>Customer Portal &amp; Mobile Refresh</t>
        </is>
      </c>
      <c r="C4" s="15" t="inlineStr">
        <is>
          <t>Chief Distribution Officer</t>
        </is>
      </c>
      <c r="D4" s="15" t="inlineStr">
        <is>
          <t>Applications</t>
        </is>
      </c>
      <c r="E4" s="15" t="n">
        <v>3600</v>
      </c>
      <c r="F4" s="15" t="n">
        <v>2200</v>
      </c>
      <c r="G4" s="15" t="n">
        <v>3700</v>
      </c>
      <c r="H4" s="15" t="inlineStr">
        <is>
          <t>On Track</t>
        </is>
      </c>
      <c r="I4" s="18" t="inlineStr">
        <is>
          <t>LOW</t>
        </is>
      </c>
      <c r="J4" s="15" t="inlineStr">
        <is>
          <t>Phase 1 launched. Phase 2 in UAT.</t>
        </is>
      </c>
    </row>
    <row r="5" ht="30" customHeight="1">
      <c r="A5" s="15" t="inlineStr">
        <is>
          <t>PRJ-004</t>
        </is>
      </c>
      <c r="B5" s="15" t="inlineStr">
        <is>
          <t>Enterprise Data Platform (Lakehouse)</t>
        </is>
      </c>
      <c r="C5" s="15" t="inlineStr">
        <is>
          <t>Group CFO</t>
        </is>
      </c>
      <c r="D5" s="15" t="inlineStr">
        <is>
          <t>Data &amp; AI</t>
        </is>
      </c>
      <c r="E5" s="15" t="n">
        <v>6800</v>
      </c>
      <c r="F5" s="15" t="n">
        <v>4900</v>
      </c>
      <c r="G5" s="15" t="n">
        <v>8100</v>
      </c>
      <c r="H5" s="15" t="inlineStr">
        <is>
          <t>Behind</t>
        </is>
      </c>
      <c r="I5" s="16" t="inlineStr">
        <is>
          <t>HIGH</t>
        </is>
      </c>
      <c r="J5" s="15" t="inlineStr">
        <is>
          <t>Cloud egress costs exceeded estimate. Vendor engaged on cost optimisation.</t>
        </is>
      </c>
    </row>
    <row r="6" ht="30" customHeight="1">
      <c r="A6" s="15" t="inlineStr">
        <is>
          <t>PRJ-005</t>
        </is>
      </c>
      <c r="B6" s="15" t="inlineStr">
        <is>
          <t>Generative AI for Underwriting Triage</t>
        </is>
      </c>
      <c r="C6" s="15" t="inlineStr">
        <is>
          <t>Group CUO</t>
        </is>
      </c>
      <c r="D6" s="15" t="inlineStr">
        <is>
          <t>Data &amp; AI</t>
        </is>
      </c>
      <c r="E6" s="15" t="n">
        <v>1500</v>
      </c>
      <c r="F6" s="15" t="n">
        <v>1100</v>
      </c>
      <c r="G6" s="15" t="n">
        <v>1700</v>
      </c>
      <c r="H6" s="15" t="inlineStr">
        <is>
          <t>On Track</t>
        </is>
      </c>
      <c r="I6" s="17" t="inlineStr">
        <is>
          <t>MEDIUM</t>
        </is>
      </c>
      <c r="J6" s="15" t="inlineStr">
        <is>
          <t>Live with two underwriting teams. ROI being measured.</t>
        </is>
      </c>
    </row>
    <row r="7" ht="30" customHeight="1">
      <c r="A7" s="15" t="inlineStr">
        <is>
          <t>PRJ-006</t>
        </is>
      </c>
      <c r="B7" s="15" t="inlineStr">
        <is>
          <t>Cyber Resilience Uplift (RMiT 2024)</t>
        </is>
      </c>
      <c r="C7" s="15" t="inlineStr">
        <is>
          <t>Group CISO</t>
        </is>
      </c>
      <c r="D7" s="15" t="inlineStr">
        <is>
          <t>Cyber &amp; Resilience</t>
        </is>
      </c>
      <c r="E7" s="15" t="n">
        <v>4400</v>
      </c>
      <c r="F7" s="15" t="n">
        <v>3500</v>
      </c>
      <c r="G7" s="15" t="n">
        <v>5100</v>
      </c>
      <c r="H7" s="15" t="inlineStr">
        <is>
          <t>Behind</t>
        </is>
      </c>
      <c r="I7" s="16" t="inlineStr">
        <is>
          <t>HIGH</t>
        </is>
      </c>
      <c r="J7" s="15" t="inlineStr">
        <is>
          <t>Incident response retainer renewed at higher rate. Two new BNM controls added in scope.</t>
        </is>
      </c>
    </row>
    <row r="8" ht="30" customHeight="1">
      <c r="A8" s="15" t="inlineStr">
        <is>
          <t>PRJ-007</t>
        </is>
      </c>
      <c r="B8" s="15" t="inlineStr">
        <is>
          <t>Cloud Migration Wave 2</t>
        </is>
      </c>
      <c r="C8" s="15" t="inlineStr">
        <is>
          <t>Head of Infrastructure</t>
        </is>
      </c>
      <c r="D8" s="15" t="inlineStr">
        <is>
          <t>Infrastructure</t>
        </is>
      </c>
      <c r="E8" s="15" t="n">
        <v>7200</v>
      </c>
      <c r="F8" s="15" t="n">
        <v>5400</v>
      </c>
      <c r="G8" s="15" t="n">
        <v>7600</v>
      </c>
      <c r="H8" s="15" t="inlineStr">
        <is>
          <t>On Track</t>
        </is>
      </c>
      <c r="I8" s="17" t="inlineStr">
        <is>
          <t>MEDIUM</t>
        </is>
      </c>
      <c r="J8" s="15" t="inlineStr">
        <is>
          <t>Wave 2 70% complete. FX impact on USD-denominated cloud spend.</t>
        </is>
      </c>
    </row>
    <row r="9" ht="30" customHeight="1">
      <c r="A9" s="15" t="inlineStr">
        <is>
          <t>PRJ-008</t>
        </is>
      </c>
      <c r="B9" s="15" t="inlineStr">
        <is>
          <t>Workplace M365 / Copilot Rollout</t>
        </is>
      </c>
      <c r="C9" s="15" t="inlineStr">
        <is>
          <t>COO</t>
        </is>
      </c>
      <c r="D9" s="15" t="inlineStr">
        <is>
          <t>Workplace IT</t>
        </is>
      </c>
      <c r="E9" s="15" t="n">
        <v>2200</v>
      </c>
      <c r="F9" s="15" t="n">
        <v>1300</v>
      </c>
      <c r="G9" s="15" t="n">
        <v>2150</v>
      </c>
      <c r="H9" s="15" t="inlineStr">
        <is>
          <t>On Track</t>
        </is>
      </c>
      <c r="I9" s="18" t="inlineStr">
        <is>
          <t>LOW</t>
        </is>
      </c>
      <c r="J9" s="15" t="inlineStr">
        <is>
          <t>E5 + Copilot licences provisioned to Phase 1 cohort of 350.</t>
        </is>
      </c>
    </row>
    <row r="10" ht="30" customHeight="1">
      <c r="A10" s="15" t="inlineStr">
        <is>
          <t>PRJ-009</t>
        </is>
      </c>
      <c r="B10" s="15" t="inlineStr">
        <is>
          <t>Vendor Risk Management Platform</t>
        </is>
      </c>
      <c r="C10" s="15" t="inlineStr">
        <is>
          <t>Head of Vendor Mgmt</t>
        </is>
      </c>
      <c r="D10" s="15" t="inlineStr">
        <is>
          <t>Tech Governance</t>
        </is>
      </c>
      <c r="E10" s="15" t="n">
        <v>900</v>
      </c>
      <c r="F10" s="15" t="n">
        <v>450</v>
      </c>
      <c r="G10" s="15" t="n">
        <v>920</v>
      </c>
      <c r="H10" s="15" t="inlineStr">
        <is>
          <t>On Track</t>
        </is>
      </c>
      <c r="I10" s="18" t="inlineStr">
        <is>
          <t>LOW</t>
        </is>
      </c>
      <c r="J10" s="15" t="inlineStr">
        <is>
          <t>Implementation on schedule. Go-live Q1 next year.</t>
        </is>
      </c>
    </row>
    <row r="11" ht="30" customHeight="1">
      <c r="A11" s="15" t="inlineStr">
        <is>
          <t>PRJ-010</t>
        </is>
      </c>
      <c r="B11" s="15" t="inlineStr">
        <is>
          <t>RMiT Reporting Automation</t>
        </is>
      </c>
      <c r="C11" s="15" t="inlineStr">
        <is>
          <t>Head of Tech Risk</t>
        </is>
      </c>
      <c r="D11" s="15" t="inlineStr">
        <is>
          <t>Tech Governance</t>
        </is>
      </c>
      <c r="E11" s="15" t="n">
        <v>1100</v>
      </c>
      <c r="F11" s="15" t="n">
        <v>650</v>
      </c>
      <c r="G11" s="15" t="n">
        <v>1180</v>
      </c>
      <c r="H11" s="15" t="inlineStr">
        <is>
          <t>On Track</t>
        </is>
      </c>
      <c r="I11" s="17" t="inlineStr">
        <is>
          <t>MEDIUM</t>
        </is>
      </c>
      <c r="J11" s="15" t="inlineStr">
        <is>
          <t>Automating BNM RMiT periodic submissions. Phase 1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2026-05-10T10:34:08Z</dcterms:created>
  <dcterms:modified xmlns:dcterms="http://purl.org/dc/terms/" xmlns:xsi="http://www.w3.org/2001/XMLSchema-instance" xsi:type="dcterms:W3CDTF">2026-05-10T10:34:08Z</dcterms:modified>
</cp:coreProperties>
</file>